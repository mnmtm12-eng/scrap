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ORMA INVOICE" sheetId="1" state="visible" r:id="rId1"/>
    <sheet xmlns:r="http://schemas.openxmlformats.org/officeDocument/2006/relationships" name="TEKNİK ŞARTNAME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3">
    <font>
      <name val="Calibri"/>
      <family val="2"/>
      <color theme="1"/>
      <sz val="11"/>
      <scheme val="minor"/>
    </font>
    <font>
      <name val="Calibri"/>
      <b val="1"/>
      <color rgb="008B0000"/>
      <sz val="16"/>
    </font>
    <font>
      <name val="Calibri"/>
      <b val="1"/>
      <color rgb="001F4E79"/>
      <sz val="10"/>
    </font>
    <font>
      <name val="Calibri"/>
      <sz val="9"/>
    </font>
    <font>
      <name val="Calibri"/>
      <b val="1"/>
      <color rgb="008B0000"/>
      <sz val="11"/>
    </font>
    <font>
      <name val="Calibri"/>
      <b val="1"/>
      <sz val="11"/>
    </font>
    <font>
      <name val="Calibri"/>
      <b val="1"/>
      <sz val="9"/>
    </font>
    <font>
      <name val="Calibri"/>
      <b val="1"/>
      <color rgb="008B0000"/>
      <sz val="14"/>
    </font>
    <font>
      <name val="Calibri"/>
      <sz val="10"/>
    </font>
    <font>
      <name val="Calibri"/>
      <b val="1"/>
      <sz val="10"/>
    </font>
    <font>
      <name val="Calibri"/>
      <b val="1"/>
      <color rgb="008B0000"/>
      <sz val="9"/>
    </font>
    <font>
      <name val="Calibri"/>
      <b val="1"/>
      <color rgb="00FFFFFF"/>
      <sz val="9"/>
    </font>
    <font>
      <name val="Calibri"/>
      <b val="1"/>
      <color rgb="008B0000"/>
      <sz val="12"/>
    </font>
    <font>
      <name val="Calibri"/>
      <i val="1"/>
      <sz val="9"/>
    </font>
    <font>
      <name val="Calibri"/>
      <b val="1"/>
      <color rgb="001F4E79"/>
      <sz val="11"/>
    </font>
    <font>
      <name val="Calibri"/>
      <b val="1"/>
      <color rgb="001F4E79"/>
      <sz val="12"/>
    </font>
    <font>
      <name val="Calibri"/>
      <b val="1"/>
      <color rgb="0000B050"/>
      <sz val="10"/>
    </font>
    <font>
      <name val="Calibri"/>
      <b val="1"/>
      <color rgb="007030A0"/>
      <sz val="10"/>
    </font>
    <font>
      <name val="Calibri"/>
      <b val="1"/>
      <color rgb="008B0000"/>
      <sz val="10"/>
    </font>
    <font>
      <name val="Calibri"/>
      <b val="1"/>
      <color rgb="0000B050"/>
      <sz val="11"/>
    </font>
    <font>
      <name val="Calibri"/>
      <b val="1"/>
      <color rgb="00FF0000"/>
      <sz val="10"/>
    </font>
    <font>
      <name val="Calibri"/>
      <b val="1"/>
      <color rgb="0000B0F0"/>
      <sz val="11"/>
    </font>
    <font>
      <name val="Calibri"/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CC"/>
        <bgColor rgb="00FFFFCC"/>
      </patternFill>
    </fill>
    <fill>
      <patternFill patternType="solid">
        <fgColor rgb="00D4AF37"/>
        <bgColor rgb="00D4AF37"/>
      </patternFill>
    </fill>
  </fills>
  <borders count="4">
    <border>
      <left/>
      <right/>
      <top/>
      <bottom/>
      <diagonal/>
    </border>
    <border>
      <bottom style="medium"/>
    </border>
    <border>
      <left style="thin"/>
      <right style="thin"/>
      <top style="thin"/>
      <bottom style="thin"/>
    </border>
    <border>
      <top style="medium"/>
      <bottom style="medium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4" fontId="6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4" fontId="6" fillId="3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/>
    </xf>
    <xf numFmtId="0" fontId="0" fillId="4" borderId="3" pivotButton="0" quotePrefix="0" xfId="0"/>
    <xf numFmtId="0" fontId="4" fillId="4" borderId="3" applyAlignment="1" pivotButton="0" quotePrefix="0" xfId="0">
      <alignment horizontal="center"/>
    </xf>
    <xf numFmtId="4" fontId="12" fillId="4" borderId="3" applyAlignment="1" pivotButton="0" quotePrefix="0" xfId="0">
      <alignment horizontal="center"/>
    </xf>
    <xf numFmtId="0" fontId="13" fillId="0" borderId="0" pivotButton="0" quotePrefix="0" xfId="0"/>
    <xf numFmtId="0" fontId="14" fillId="0" borderId="0" pivotButton="0" quotePrefix="0" xfId="0"/>
    <xf numFmtId="0" fontId="3" fillId="0" borderId="0" pivotButton="0" quotePrefix="0" xfId="0"/>
    <xf numFmtId="0" fontId="15" fillId="0" borderId="0" pivotButton="0" quotePrefix="0" xfId="0"/>
    <xf numFmtId="164" fontId="1" fillId="0" borderId="3" applyAlignment="1" pivotButton="0" quotePrefix="0" xfId="0">
      <alignment horizontal="center"/>
    </xf>
    <xf numFmtId="0" fontId="0" fillId="0" borderId="3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2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applyAlignment="1" pivotButton="0" quotePrefix="0" xfId="0">
      <alignment horizontal="center"/>
    </xf>
    <xf numFmtId="0" fontId="11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/>
    </xf>
    <xf numFmtId="4" fontId="8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N37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8" customWidth="1" min="3" max="3"/>
    <col width="18" customWidth="1" min="4" max="4"/>
    <col width="18" customWidth="1" min="5" max="5"/>
    <col width="18" customWidth="1" min="6" max="6"/>
    <col width="16" customWidth="1" min="7" max="7"/>
    <col width="8" customWidth="1" min="8" max="8"/>
    <col width="8" customWidth="1" min="9" max="9"/>
    <col width="12" customWidth="1" min="10" max="10"/>
    <col width="14" customWidth="1" min="11" max="11"/>
    <col width="14" customWidth="1" min="12" max="12"/>
    <col width="8" customWidth="1" min="13" max="13"/>
    <col width="8" customWidth="1" min="14" max="14"/>
  </cols>
  <sheetData>
    <row r="1" ht="28" customHeight="1">
      <c r="A1" s="1" t="inlineStr">
        <is>
          <t>NEWA GROUP</t>
        </is>
      </c>
    </row>
    <row r="2">
      <c r="A2" s="2" t="inlineStr">
        <is>
          <t>METALURJİ İTHALAT İHRACAAT SANAYİ VE TİCARET LİMİTED ŞİRKETİ</t>
        </is>
      </c>
    </row>
    <row r="3">
      <c r="A3" s="3" t="inlineStr">
        <is>
          <t>KARPUZSEKİSİ MAH. CAD: 59 NO: 13 HACILAR / KAYSERİ / TÜRKİYE</t>
        </is>
      </c>
    </row>
    <row r="4">
      <c r="A4" s="3" t="inlineStr">
        <is>
          <t>Tel: +90 352 504 09 09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7">
      <c r="A7" s="5" t="inlineStr">
        <is>
          <t>TO:</t>
        </is>
      </c>
      <c r="E7" s="6" t="inlineStr">
        <is>
          <t>MODERN STYLE FOR IMPORT &amp; EXPORT / SAAD ZAKY FAHIM ABDELSAYED</t>
        </is>
      </c>
      <c r="K7" s="7" t="inlineStr">
        <is>
          <t>PROFORMA INVOICE NO:</t>
        </is>
      </c>
    </row>
    <row r="8">
      <c r="A8" s="8" t="inlineStr">
        <is>
          <t>ADDRESS:</t>
        </is>
      </c>
      <c r="E8" s="9" t="inlineStr">
        <is>
          <t>199 MOSTAFA EL NAHHAS STREET, NASR CITY, 8TH DISTRICT, CAIRO, EGYPT</t>
        </is>
      </c>
      <c r="K8" s="10" t="inlineStr">
        <is>
          <t>2026-001</t>
        </is>
      </c>
    </row>
    <row r="9">
      <c r="A9" s="8" t="inlineStr">
        <is>
          <t>EMAIL:</t>
        </is>
      </c>
      <c r="E9" s="9" t="inlineStr">
        <is>
          <t>saad.zaky@modernstyle.com</t>
        </is>
      </c>
      <c r="K9" s="11" t="inlineStr">
        <is>
          <t>COUNTRY OF ORIGIN: TURKEY</t>
        </is>
      </c>
    </row>
    <row r="10">
      <c r="A10" s="8" t="inlineStr">
        <is>
          <t>TEL:</t>
        </is>
      </c>
      <c r="E10" s="9" t="inlineStr">
        <is>
          <t>+20 100 000 0000</t>
        </is>
      </c>
      <c r="K10" s="11" t="inlineStr">
        <is>
          <t>DATE: 15/06/2026</t>
        </is>
      </c>
    </row>
    <row r="11">
      <c r="K11" s="11" t="inlineStr">
        <is>
          <t>DELIVERY: EX-WORKS</t>
        </is>
      </c>
    </row>
    <row r="12">
      <c r="K12" s="12" t="inlineStr">
        <is>
          <t>PAYMENT: %30 DEPOSIT / %70 CAD</t>
        </is>
      </c>
    </row>
    <row r="14" ht="20" customHeight="1">
      <c r="A14" s="13" t="inlineStr">
        <is>
          <t>NO</t>
        </is>
      </c>
      <c r="B14" s="13" t="inlineStr">
        <is>
          <t>FOTO / RESİM</t>
        </is>
      </c>
      <c r="C14" s="13" t="inlineStr">
        <is>
          <t>ÜRÜN AHŞAP ADI</t>
        </is>
      </c>
      <c r="D14" s="13" t="inlineStr">
        <is>
          <t>AHŞAP / WOOD</t>
        </is>
      </c>
      <c r="E14" s="13" t="inlineStr">
        <is>
          <t>KASA RENK / COLOR</t>
        </is>
      </c>
      <c r="F14" s="13" t="inlineStr">
        <is>
          <t>ÇEKME KOL / HANDLE</t>
        </is>
      </c>
      <c r="G14" s="13" t="inlineStr">
        <is>
          <t>AKSESUAR RENK</t>
        </is>
      </c>
      <c r="H14" s="13" t="inlineStr">
        <is>
          <t>SAĞ</t>
        </is>
      </c>
      <c r="I14" s="13" t="inlineStr">
        <is>
          <t>SOL</t>
        </is>
      </c>
      <c r="J14" s="13" t="inlineStr">
        <is>
          <t>TOPLAM PCS</t>
        </is>
      </c>
      <c r="K14" s="13" t="inlineStr">
        <is>
          <t>BİRİM FİYAT ($)</t>
        </is>
      </c>
      <c r="L14" s="13" t="inlineStr">
        <is>
          <t>TUTAR ($)</t>
        </is>
      </c>
      <c r="M14" s="14" t="inlineStr">
        <is>
          <t>NOTES</t>
        </is>
      </c>
    </row>
    <row r="15"/>
    <row r="16">
      <c r="A16" s="15" t="n">
        <v>1</v>
      </c>
      <c r="B16" s="16" t="inlineStr"/>
      <c r="C16" s="16" t="inlineStr">
        <is>
          <t>LAMİNOKS</t>
        </is>
      </c>
      <c r="D16" s="16" t="inlineStr">
        <is>
          <t>GÖRÜMSELDEKİ GİBİ</t>
        </is>
      </c>
      <c r="E16" s="16" t="inlineStr">
        <is>
          <t>GÖRÜMSELDEKİ GİBİ</t>
        </is>
      </c>
      <c r="F16" s="16" t="inlineStr">
        <is>
          <t>GÖRÜMSELDEKİ GİBİ</t>
        </is>
      </c>
      <c r="G16" s="16" t="inlineStr">
        <is>
          <t>GÖRÜMSELDEKİ GİBİ</t>
        </is>
      </c>
      <c r="H16" s="16" t="n">
        <v>10</v>
      </c>
      <c r="I16" s="16" t="n">
        <v>10</v>
      </c>
      <c r="J16" s="16" t="n">
        <v>20</v>
      </c>
      <c r="K16" s="17" t="n">
        <v>180</v>
      </c>
      <c r="L16" s="17">
        <f>J16*K16</f>
        <v/>
      </c>
      <c r="M16" s="16" t="inlineStr">
        <is>
          <t>KAPLAMA</t>
        </is>
      </c>
    </row>
    <row r="17">
      <c r="A17" s="18" t="n">
        <v>2</v>
      </c>
      <c r="B17" s="19" t="inlineStr"/>
      <c r="C17" s="19" t="inlineStr">
        <is>
          <t>LAMİNOKS</t>
        </is>
      </c>
      <c r="D17" s="19" t="inlineStr">
        <is>
          <t>GÖRÜMSELDEKİ GİBİ</t>
        </is>
      </c>
      <c r="E17" s="19" t="inlineStr">
        <is>
          <t>GÖRÜMSELDEKİ GİBİ</t>
        </is>
      </c>
      <c r="F17" s="19" t="inlineStr">
        <is>
          <t>GÖRÜMSELDEKİ GİBİ</t>
        </is>
      </c>
      <c r="G17" s="19" t="inlineStr">
        <is>
          <t>GÖRÜMSELDEKİ GİBİ</t>
        </is>
      </c>
      <c r="H17" s="19" t="n">
        <v>10</v>
      </c>
      <c r="I17" s="19" t="n">
        <v>10</v>
      </c>
      <c r="J17" s="19" t="n">
        <v>20</v>
      </c>
      <c r="K17" s="20" t="n">
        <v>180</v>
      </c>
      <c r="L17" s="20">
        <f>J17*K17</f>
        <v/>
      </c>
      <c r="M17" s="19" t="inlineStr">
        <is>
          <t>KAPLAMA</t>
        </is>
      </c>
    </row>
    <row r="18">
      <c r="A18" s="15" t="n">
        <v>3</v>
      </c>
      <c r="B18" s="16" t="inlineStr"/>
      <c r="C18" s="16" t="inlineStr">
        <is>
          <t>ELİT PAN</t>
        </is>
      </c>
      <c r="D18" s="16" t="inlineStr">
        <is>
          <t>GÖRÜMSELDEKİ GİBİ</t>
        </is>
      </c>
      <c r="E18" s="16" t="inlineStr">
        <is>
          <t>GÖRÜMSELDEKİ GİBİ</t>
        </is>
      </c>
      <c r="F18" s="16" t="inlineStr">
        <is>
          <t>GÖRÜMSELDEKİ GİBİ</t>
        </is>
      </c>
      <c r="G18" s="16" t="inlineStr">
        <is>
          <t>GÖRÜMSELDEKİ GİBİ</t>
        </is>
      </c>
      <c r="H18" s="16" t="n">
        <v>10</v>
      </c>
      <c r="I18" s="16" t="n">
        <v>10</v>
      </c>
      <c r="J18" s="16" t="n">
        <v>20</v>
      </c>
      <c r="K18" s="17" t="n">
        <v>195</v>
      </c>
      <c r="L18" s="17">
        <f>J18*K18</f>
        <v/>
      </c>
      <c r="M18" s="16" t="inlineStr">
        <is>
          <t>KAPLAMA</t>
        </is>
      </c>
    </row>
    <row r="19">
      <c r="A19" s="15" t="n">
        <v>4</v>
      </c>
      <c r="B19" s="16" t="inlineStr"/>
      <c r="C19" s="16" t="inlineStr">
        <is>
          <t>LAMİNOKS</t>
        </is>
      </c>
      <c r="D19" s="16" t="inlineStr">
        <is>
          <t>GÖRÜMSELDEKİ GİBİ</t>
        </is>
      </c>
      <c r="E19" s="16" t="inlineStr">
        <is>
          <t>GÖRÜMSELDEKİ GİBİ</t>
        </is>
      </c>
      <c r="F19" s="16" t="inlineStr">
        <is>
          <t>GÖRÜMSELDEKİ GİBİ</t>
        </is>
      </c>
      <c r="G19" s="16" t="inlineStr">
        <is>
          <t>GÖRÜMSELDEKİ GİBİ</t>
        </is>
      </c>
      <c r="H19" s="16" t="n">
        <v>10</v>
      </c>
      <c r="I19" s="16" t="n">
        <v>10</v>
      </c>
      <c r="J19" s="16" t="n">
        <v>20</v>
      </c>
      <c r="K19" s="17" t="n">
        <v>180</v>
      </c>
      <c r="L19" s="17">
        <f>J19*K19</f>
        <v/>
      </c>
      <c r="M19" s="16" t="inlineStr"/>
    </row>
    <row r="20">
      <c r="A20" s="15" t="n">
        <v>5</v>
      </c>
      <c r="B20" s="16" t="inlineStr"/>
      <c r="C20" s="16" t="inlineStr">
        <is>
          <t>LAMİNOKS AHŞAP KOLU</t>
        </is>
      </c>
      <c r="D20" s="16" t="inlineStr">
        <is>
          <t>GÖRÜMSELDEKİ GİBİ</t>
        </is>
      </c>
      <c r="E20" s="16" t="inlineStr">
        <is>
          <t>GÖRÜMSELDEKİ GİBİ</t>
        </is>
      </c>
      <c r="F20" s="16" t="inlineStr">
        <is>
          <t>GÖRÜMSELDEKİ GİBİ</t>
        </is>
      </c>
      <c r="G20" s="16" t="inlineStr">
        <is>
          <t>GÖRÜMSELDEKİ GİBİ</t>
        </is>
      </c>
      <c r="H20" s="16" t="n">
        <v>10</v>
      </c>
      <c r="I20" s="16" t="n">
        <v>9</v>
      </c>
      <c r="J20" s="16" t="n">
        <v>19</v>
      </c>
      <c r="K20" s="17" t="n">
        <v>220</v>
      </c>
      <c r="L20" s="17">
        <f>J20*K20</f>
        <v/>
      </c>
      <c r="M20" s="16" t="inlineStr">
        <is>
          <t>AHŞAP KOL</t>
        </is>
      </c>
    </row>
    <row r="21">
      <c r="A21" s="18" t="n">
        <v>6</v>
      </c>
      <c r="B21" s="19" t="inlineStr"/>
      <c r="C21" s="19" t="inlineStr">
        <is>
          <t>LAMİNOKS AHŞAP KOLU</t>
        </is>
      </c>
      <c r="D21" s="19" t="inlineStr">
        <is>
          <t>GÖRÜMSELDEKİ GİBİ</t>
        </is>
      </c>
      <c r="E21" s="19" t="inlineStr">
        <is>
          <t>GÖRÜMSELDEKİ GİBİ</t>
        </is>
      </c>
      <c r="F21" s="19" t="inlineStr">
        <is>
          <t>GÖRÜMSELDEKİ GİBİ</t>
        </is>
      </c>
      <c r="G21" s="19" t="inlineStr">
        <is>
          <t>GÖRÜMSELDEKİ GİBİ</t>
        </is>
      </c>
      <c r="H21" s="19" t="n">
        <v>10</v>
      </c>
      <c r="I21" s="19" t="n">
        <v>9</v>
      </c>
      <c r="J21" s="19" t="n">
        <v>19</v>
      </c>
      <c r="K21" s="20" t="n">
        <v>220</v>
      </c>
      <c r="L21" s="20">
        <f>J21*K21</f>
        <v/>
      </c>
      <c r="M21" s="19" t="inlineStr">
        <is>
          <t>AHŞAP KOL</t>
        </is>
      </c>
    </row>
    <row r="22">
      <c r="A22" s="18" t="n">
        <v>7</v>
      </c>
      <c r="B22" s="19" t="inlineStr"/>
      <c r="C22" s="19" t="inlineStr">
        <is>
          <t>LAMİNOKS</t>
        </is>
      </c>
      <c r="D22" s="19" t="inlineStr">
        <is>
          <t>GÖRÜMSELDEKİ GİBİ</t>
        </is>
      </c>
      <c r="E22" s="19" t="inlineStr">
        <is>
          <t>GÖRÜMSELDEKİ GİBİ</t>
        </is>
      </c>
      <c r="F22" s="19" t="inlineStr">
        <is>
          <t>GÖRÜMSELDEKİ GİBİ</t>
        </is>
      </c>
      <c r="G22" s="19" t="inlineStr">
        <is>
          <t>GÖRÜMSELDEKİ GİBİ</t>
        </is>
      </c>
      <c r="H22" s="19" t="n">
        <v>10</v>
      </c>
      <c r="I22" s="19" t="n">
        <v>9</v>
      </c>
      <c r="J22" s="19" t="n">
        <v>19</v>
      </c>
      <c r="K22" s="20" t="n">
        <v>180</v>
      </c>
      <c r="L22" s="20">
        <f>J22*K22</f>
        <v/>
      </c>
      <c r="M22" s="19" t="inlineStr"/>
    </row>
    <row r="23">
      <c r="A23" s="15" t="n">
        <v>8</v>
      </c>
      <c r="B23" s="16" t="inlineStr"/>
      <c r="C23" s="16" t="inlineStr">
        <is>
          <t>LAMİNOKS</t>
        </is>
      </c>
      <c r="D23" s="16" t="inlineStr">
        <is>
          <t>GÖRÜMSELDEKİ GİBİ</t>
        </is>
      </c>
      <c r="E23" s="16" t="inlineStr">
        <is>
          <t>GÖRÜMSELDEKİ GİBİ</t>
        </is>
      </c>
      <c r="F23" s="16" t="inlineStr">
        <is>
          <t>GÖRÜMSELDEKİ GİBİ</t>
        </is>
      </c>
      <c r="G23" s="16" t="inlineStr">
        <is>
          <t>GÖRÜMSELDEKİ GİBİ</t>
        </is>
      </c>
      <c r="H23" s="16" t="n">
        <v>5</v>
      </c>
      <c r="I23" s="16" t="n">
        <v>5</v>
      </c>
      <c r="J23" s="16" t="n">
        <v>10</v>
      </c>
      <c r="K23" s="17" t="n">
        <v>180</v>
      </c>
      <c r="L23" s="17">
        <f>J23*K23</f>
        <v/>
      </c>
      <c r="M23" s="16" t="inlineStr"/>
    </row>
    <row r="24">
      <c r="A24" s="21" t="n">
        <v>9</v>
      </c>
      <c r="B24" s="22" t="inlineStr"/>
      <c r="C24" s="22" t="inlineStr">
        <is>
          <t>ELİT PAN</t>
        </is>
      </c>
      <c r="D24" s="22" t="inlineStr">
        <is>
          <t>GÖRÜMSELDEKİ GİBİ</t>
        </is>
      </c>
      <c r="E24" s="22" t="inlineStr">
        <is>
          <t>GÖRÜMSELDEKİ GİBİ</t>
        </is>
      </c>
      <c r="F24" s="22" t="inlineStr">
        <is>
          <t>GÖRÜMSELDEKİ GİBİ</t>
        </is>
      </c>
      <c r="G24" s="22" t="inlineStr">
        <is>
          <t>GÖRÜMSELDEKİ GİBİ</t>
        </is>
      </c>
      <c r="H24" s="22" t="n">
        <v>5</v>
      </c>
      <c r="I24" s="22" t="n">
        <v>4</v>
      </c>
      <c r="J24" s="22" t="n">
        <v>9</v>
      </c>
      <c r="K24" s="23" t="n">
        <v>195</v>
      </c>
      <c r="L24" s="23">
        <f>J24*K24</f>
        <v/>
      </c>
      <c r="M24" s="22" t="inlineStr"/>
      <c r="N24" s="4" t="n"/>
    </row>
    <row r="25">
      <c r="A25" s="24" t="inlineStr">
        <is>
          <t>TOTAL / TOPLAM</t>
        </is>
      </c>
      <c r="B25" s="25" t="n"/>
      <c r="C25" s="25" t="n"/>
      <c r="D25" s="25" t="n"/>
      <c r="E25" s="25" t="n"/>
      <c r="F25" s="25" t="n"/>
      <c r="G25" s="25" t="n"/>
      <c r="H25" s="25" t="n"/>
      <c r="I25" s="25" t="n"/>
      <c r="J25" s="26">
        <f>SUM(J16:J24)</f>
        <v/>
      </c>
      <c r="K25" s="25" t="n"/>
      <c r="L25" s="27">
        <f>SUM(L16:L24)</f>
        <v/>
      </c>
      <c r="M25" s="25" t="n"/>
      <c r="N25" s="25" t="n"/>
    </row>
    <row r="26">
      <c r="A26" s="28" t="inlineStr">
        <is>
          <t>SAYFA: 1 / 1</t>
        </is>
      </c>
    </row>
    <row r="28">
      <c r="A28" s="29" t="inlineStr">
        <is>
          <t>BANK DETAILS / BANKA BİLGİLERİ</t>
        </is>
      </c>
      <c r="D28" s="30">
        <f>=====================================================================</f>
        <v/>
      </c>
    </row>
    <row r="29">
      <c r="A29" s="11" t="inlineStr">
        <is>
          <t>COMPANY NAME</t>
        </is>
      </c>
      <c r="D29" s="9" t="inlineStr">
        <is>
          <t>NEWA GROUP METALURJİ İTHALAT İHRACAAT SANAYİ VE TİCARET LİMİTED ŞİRKETİ</t>
        </is>
      </c>
    </row>
    <row r="30">
      <c r="A30" s="11" t="inlineStr">
        <is>
          <t>BANK NAME</t>
        </is>
      </c>
      <c r="D30" s="9" t="inlineStr">
        <is>
          <t>Albaraka Türk Katılım Bankası A.Ş.</t>
        </is>
      </c>
    </row>
    <row r="31">
      <c r="A31" s="11" t="inlineStr">
        <is>
          <t>BRANCH</t>
        </is>
      </c>
      <c r="D31" s="9" t="inlineStr">
        <is>
          <t>KAYSERİ ORGANİZE SANAYİ ŞUBESİ</t>
        </is>
      </c>
    </row>
    <row r="32">
      <c r="A32" s="11" t="inlineStr">
        <is>
          <t>BRANCH CODE</t>
        </is>
      </c>
      <c r="D32" s="9" t="inlineStr">
        <is>
          <t>111</t>
        </is>
      </c>
    </row>
    <row r="33">
      <c r="A33" s="11" t="inlineStr">
        <is>
          <t>ACCOUNT NO</t>
        </is>
      </c>
      <c r="D33" s="9" t="inlineStr">
        <is>
          <t>00158048017458915</t>
        </is>
      </c>
    </row>
    <row r="34">
      <c r="A34" s="11" t="inlineStr">
        <is>
          <t>IBAN NO</t>
        </is>
      </c>
      <c r="D34" s="9" t="inlineStr">
        <is>
          <t>TR28 0020 3000 1020 6886 0000 02</t>
        </is>
      </c>
    </row>
    <row r="35">
      <c r="A35" s="11" t="inlineStr">
        <is>
          <t>SWIFT CODE</t>
        </is>
      </c>
      <c r="D35" s="9" t="inlineStr">
        <is>
          <t>BTFH TR IS</t>
        </is>
      </c>
    </row>
    <row r="37">
      <c r="A37" s="31" t="inlineStr">
        <is>
          <t>TOTAL INVOICE VALUE / FATURA TOPLAM TUTARI</t>
        </is>
      </c>
      <c r="K37" s="32">
        <f>L25</f>
        <v/>
      </c>
      <c r="L37" s="33" t="n"/>
      <c r="M37" s="33" t="n"/>
    </row>
  </sheetData>
  <mergeCells count="51">
    <mergeCell ref="A25:I25"/>
    <mergeCell ref="A8:D8"/>
    <mergeCell ref="E10:J10"/>
    <mergeCell ref="D32:L32"/>
    <mergeCell ref="A4:M4"/>
    <mergeCell ref="E9:J9"/>
    <mergeCell ref="K12:M12"/>
    <mergeCell ref="A10:D10"/>
    <mergeCell ref="B14:B15"/>
    <mergeCell ref="M14:N15"/>
    <mergeCell ref="A26:L26"/>
    <mergeCell ref="K8:M8"/>
    <mergeCell ref="A9:D9"/>
    <mergeCell ref="L14:L15"/>
    <mergeCell ref="A33:C33"/>
    <mergeCell ref="A32:C32"/>
    <mergeCell ref="D28:L28"/>
    <mergeCell ref="A29:C29"/>
    <mergeCell ref="A35:C35"/>
    <mergeCell ref="K7:M7"/>
    <mergeCell ref="A14:A15"/>
    <mergeCell ref="G14:G15"/>
    <mergeCell ref="E7:J7"/>
    <mergeCell ref="D30:L30"/>
    <mergeCell ref="I14:I15"/>
    <mergeCell ref="A28:C28"/>
    <mergeCell ref="K14:K15"/>
    <mergeCell ref="D33:L33"/>
    <mergeCell ref="A1:M1"/>
    <mergeCell ref="K10:M10"/>
    <mergeCell ref="D29:L29"/>
    <mergeCell ref="A31:C31"/>
    <mergeCell ref="K37:M37"/>
    <mergeCell ref="A7:D7"/>
    <mergeCell ref="A30:C30"/>
    <mergeCell ref="A34:C34"/>
    <mergeCell ref="D35:L35"/>
    <mergeCell ref="D14:D15"/>
    <mergeCell ref="F14:F15"/>
    <mergeCell ref="H14:H15"/>
    <mergeCell ref="A37:J37"/>
    <mergeCell ref="J14:J15"/>
    <mergeCell ref="D34:L34"/>
    <mergeCell ref="K9:M9"/>
    <mergeCell ref="A3:M3"/>
    <mergeCell ref="E8:J8"/>
    <mergeCell ref="D31:L31"/>
    <mergeCell ref="A2:M2"/>
    <mergeCell ref="C14:C15"/>
    <mergeCell ref="K11:M11"/>
    <mergeCell ref="E14:E15"/>
  </mergeCells>
  <pageMargins left="0.4" right="0.4" top="0.4" bottom="0.4" header="0.5" footer="0.5"/>
  <pageSetup orientation="landscape" paperSize="9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0" t="inlineStr">
        <is>
          <t>PERS VE METAL / TEKNİK ŞARTNAME</t>
        </is>
      </c>
    </row>
    <row r="3">
      <c r="A3" s="11" t="inlineStr">
        <is>
          <t>SİPARİŞ KODU : MS01-2026</t>
        </is>
      </c>
      <c r="E3" s="11" t="inlineStr">
        <is>
          <t>ÜLKE : MISIR</t>
        </is>
      </c>
      <c r="H3" s="11" t="inlineStr">
        <is>
          <t>TARİH : 15-06-2026</t>
        </is>
      </c>
    </row>
    <row r="4">
      <c r="A4" s="34" t="inlineStr">
        <is>
          <t>SAC KALINLIĞI</t>
        </is>
      </c>
      <c r="C4" s="11" t="inlineStr">
        <is>
          <t>KASA : 0.90 MM</t>
        </is>
      </c>
    </row>
    <row r="5">
      <c r="C5" s="11" t="inlineStr">
        <is>
          <t>KANAT : 0.90 MM</t>
        </is>
      </c>
    </row>
    <row r="7">
      <c r="A7" s="35" t="inlineStr">
        <is>
          <t>TEK KANAT</t>
        </is>
      </c>
      <c r="E7" s="11" t="inlineStr">
        <is>
          <t>TOPLAM</t>
        </is>
      </c>
    </row>
    <row r="8">
      <c r="A8" s="11" t="inlineStr">
        <is>
          <t>SAĞ</t>
        </is>
      </c>
      <c r="B8" s="36" t="inlineStr">
        <is>
          <t>80</t>
        </is>
      </c>
      <c r="D8" s="11" t="inlineStr">
        <is>
          <t>SOL</t>
        </is>
      </c>
      <c r="E8" s="36" t="inlineStr">
        <is>
          <t>76</t>
        </is>
      </c>
      <c r="H8" s="37">
        <f>B8+E8</f>
        <v/>
      </c>
    </row>
    <row r="10">
      <c r="A10" s="38" t="inlineStr">
        <is>
          <t>KASA / ÇERÇEVE</t>
        </is>
      </c>
    </row>
    <row r="12">
      <c r="A12" s="11" t="inlineStr">
        <is>
          <t>ÖLÇÜ DIŞ PERVAZDAN PERVAZA</t>
        </is>
      </c>
      <c r="E12" s="11" t="inlineStr">
        <is>
          <t>100 x 215 CM</t>
        </is>
      </c>
    </row>
    <row r="13">
      <c r="A13" s="11" t="inlineStr">
        <is>
          <t>KASA TÜRÜ : SABİT 15'LİK TURBO</t>
        </is>
      </c>
    </row>
    <row r="15">
      <c r="A15" s="39" t="inlineStr">
        <is>
          <t>DIŞ PERVAZ</t>
        </is>
      </c>
    </row>
    <row r="16">
      <c r="A16" s="11" t="inlineStr">
        <is>
          <t>SAĞ</t>
        </is>
      </c>
      <c r="B16" s="11" t="inlineStr">
        <is>
          <t>7 CM</t>
        </is>
      </c>
    </row>
    <row r="17">
      <c r="A17" s="11" t="inlineStr">
        <is>
          <t>SOL</t>
        </is>
      </c>
      <c r="B17" s="11" t="inlineStr">
        <is>
          <t>7 CM</t>
        </is>
      </c>
    </row>
    <row r="18">
      <c r="A18" s="11" t="inlineStr">
        <is>
          <t>ÜST</t>
        </is>
      </c>
      <c r="B18" s="11" t="inlineStr">
        <is>
          <t>7 CM</t>
        </is>
      </c>
    </row>
    <row r="19">
      <c r="A19" s="11" t="inlineStr">
        <is>
          <t>KESİM ÖLÇÜSÜ (PERVAZ HARİÇ İÇ ÖLÇÜ)</t>
        </is>
      </c>
      <c r="F19" s="11" t="inlineStr">
        <is>
          <t>89 x 209 CM</t>
        </is>
      </c>
    </row>
    <row r="21">
      <c r="A21" s="11" t="inlineStr">
        <is>
          <t>KİLİT PATLATMASI : EZME MISIR SETİ</t>
        </is>
      </c>
      <c r="F21" s="11" t="inlineStr">
        <is>
          <t>EŞİK FİTİL : VAR</t>
        </is>
      </c>
    </row>
    <row r="22">
      <c r="A22" s="30" t="inlineStr">
        <is>
          <t>(KİLİT TARAF MONO BLOK + MENTEŞE TARAFA 3. KİLİT)</t>
        </is>
      </c>
      <c r="F22" s="11" t="inlineStr">
        <is>
          <t>KROM EŞİK FİTİL : VAR</t>
        </is>
      </c>
    </row>
    <row r="24">
      <c r="A24" s="11" t="inlineStr">
        <is>
          <t>PİM : KARE 24x38 (2-2-2) + KİLİT TARAFI 3 ADET</t>
        </is>
      </c>
    </row>
    <row r="26">
      <c r="A26" s="40" t="inlineStr">
        <is>
          <t>KANAT</t>
        </is>
      </c>
    </row>
    <row r="27">
      <c r="A27" s="11" t="inlineStr">
        <is>
          <t>KESİM ÖLÇÜSÜ KANAT</t>
        </is>
      </c>
      <c r="E27" s="11" t="inlineStr">
        <is>
          <t>87.5 x 206 CM</t>
        </is>
      </c>
    </row>
    <row r="28">
      <c r="A28" s="11" t="inlineStr">
        <is>
          <t>KANAT TÜRÜ : METAL BİNİ TIRNAKLI 11 CM</t>
        </is>
      </c>
      <c r="F28" s="11" t="inlineStr">
        <is>
          <t>PROFİL SAYISI : 4</t>
        </is>
      </c>
    </row>
    <row r="29">
      <c r="A29" s="11" t="inlineStr">
        <is>
          <t>ARASACI : FULL</t>
        </is>
      </c>
      <c r="F29" s="11" t="inlineStr">
        <is>
          <t>TEMELİK : SATEN KROM 8 CM</t>
        </is>
      </c>
    </row>
    <row r="31">
      <c r="A31" s="39" t="inlineStr">
        <is>
          <t>KANATTA "MADE IN TURKEY"</t>
        </is>
      </c>
    </row>
    <row r="33">
      <c r="A33" s="11" t="inlineStr">
        <is>
          <t>NOT : 8 MONTAJ KULAĞI VE EŞİK ALTINDA 2 ADET DESTEK SAC OLACAK</t>
        </is>
      </c>
    </row>
    <row r="34">
      <c r="A34" s="11" t="inlineStr">
        <is>
          <t>MENTEŞE : 4 ADET</t>
        </is>
      </c>
    </row>
    <row r="35">
      <c r="A35" s="11" t="inlineStr">
        <is>
          <t>SATEN KROM 8 CM : 504 ADET</t>
        </is>
      </c>
    </row>
    <row r="36">
      <c r="A36" s="11" t="inlineStr">
        <is>
          <t>SATEN KROM EŞİK FİTİL : 504 ADET</t>
        </is>
      </c>
    </row>
  </sheetData>
  <mergeCells count="3">
    <mergeCell ref="E3:F3"/>
    <mergeCell ref="A3:D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6F00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8" customWidth="1" min="3" max="3"/>
    <col width="10" customWidth="1" min="4" max="4"/>
    <col width="18" customWidth="1" min="5" max="5"/>
    <col width="18" customWidth="1" min="6" max="6"/>
    <col width="14" customWidth="1" min="7" max="7"/>
    <col width="12" customWidth="1" min="8" max="8"/>
  </cols>
  <sheetData>
    <row r="1">
      <c r="A1" s="41" t="inlineStr">
        <is>
          <t>PACKING LIST / AMBALAJ LİSTESİ</t>
        </is>
      </c>
    </row>
    <row r="3">
      <c r="A3" s="42" t="inlineStr">
        <is>
          <t>NO</t>
        </is>
      </c>
      <c r="B3" s="42" t="inlineStr">
        <is>
          <t>PRODUCT</t>
        </is>
      </c>
      <c r="C3" s="42" t="inlineStr">
        <is>
          <t>PCS</t>
        </is>
      </c>
      <c r="D3" s="42" t="inlineStr">
        <is>
          <t>PACKAGES</t>
        </is>
      </c>
      <c r="E3" s="42" t="inlineStr">
        <is>
          <t>NET WEIGHT (kg)</t>
        </is>
      </c>
      <c r="F3" s="42" t="inlineStr">
        <is>
          <t>GROSS WEIGHT (kg)</t>
        </is>
      </c>
      <c r="G3" s="42" t="inlineStr">
        <is>
          <t>VOLUME (m³)</t>
        </is>
      </c>
      <c r="H3" s="42" t="inlineStr">
        <is>
          <t>NOTES</t>
        </is>
      </c>
    </row>
    <row r="4">
      <c r="A4" s="43" t="n">
        <v>1</v>
      </c>
      <c r="B4" s="43" t="inlineStr">
        <is>
          <t>LAMİNOKS</t>
        </is>
      </c>
      <c r="C4" s="43" t="n">
        <v>60</v>
      </c>
      <c r="D4" s="43" t="n">
        <v>5</v>
      </c>
      <c r="E4" s="44" t="n">
        <v>900</v>
      </c>
      <c r="F4" s="44" t="n">
        <v>990</v>
      </c>
      <c r="G4" s="44" t="n">
        <v>7.5</v>
      </c>
      <c r="H4" s="43" t="inlineStr">
        <is>
          <t>PALET</t>
        </is>
      </c>
    </row>
    <row r="5">
      <c r="A5" s="43" t="n">
        <v>2</v>
      </c>
      <c r="B5" s="43" t="inlineStr">
        <is>
          <t>ELİT PAN</t>
        </is>
      </c>
      <c r="C5" s="43" t="n">
        <v>29</v>
      </c>
      <c r="D5" s="43" t="n">
        <v>3</v>
      </c>
      <c r="E5" s="44" t="n">
        <v>522</v>
      </c>
      <c r="F5" s="44" t="n">
        <v>574</v>
      </c>
      <c r="G5" s="44" t="n">
        <v>4.5</v>
      </c>
      <c r="H5" s="43" t="inlineStr">
        <is>
          <t>PALET</t>
        </is>
      </c>
    </row>
    <row r="6">
      <c r="A6" s="43" t="n">
        <v>3</v>
      </c>
      <c r="B6" s="43" t="inlineStr">
        <is>
          <t>LAMİNOKS AHŞAP KOLU</t>
        </is>
      </c>
      <c r="C6" s="43" t="n">
        <v>38</v>
      </c>
      <c r="D6" s="43" t="n">
        <v>3</v>
      </c>
      <c r="E6" s="44" t="n">
        <v>646</v>
      </c>
      <c r="F6" s="44" t="n">
        <v>711</v>
      </c>
      <c r="G6" s="44" t="n">
        <v>5</v>
      </c>
      <c r="H6" s="43" t="inlineStr">
        <is>
          <t>PALET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2026-06-15T13:17:06Z</dcterms:created>
  <dcterms:modified xmlns:dcterms="http://purl.org/dc/terms/" xmlns:xsi="http://www.w3.org/2001/XMLSchema-instance" xsi:type="dcterms:W3CDTF">2026-06-15T13:17:06Z</dcterms:modified>
</cp:coreProperties>
</file>