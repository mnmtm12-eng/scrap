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لبيات" sheetId="1" state="visible" r:id="rId1"/>
    <sheet xmlns:r="http://schemas.openxmlformats.org/officeDocument/2006/relationships" name="جهات الاتصال" sheetId="2" state="visible" r:id="rId2"/>
    <sheet xmlns:r="http://schemas.openxmlformats.org/officeDocument/2006/relationships" name="الفواتير" sheetId="3" state="visible" r:id="rId3"/>
    <sheet xmlns:r="http://schemas.openxmlformats.org/officeDocument/2006/relationships" name="ملخص" sheetId="4" state="visible" r:id="rId4"/>
    <sheet xmlns:r="http://schemas.openxmlformats.org/officeDocument/2006/relationships" name="بروفورما تصدير" sheetId="5" state="visible" r:id="rId5"/>
    <sheet xmlns:r="http://schemas.openxmlformats.org/officeDocument/2006/relationships" name="مواصفات فنية" sheetId="6" state="visible" r:id="rId6"/>
  </sheets>
  <definedNames>
    <definedName name="_xlnm._FilterDatabase" localSheetId="0" hidden="1">'الطلبيات'!$A$1:$J$6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sz val="12"/>
    </font>
    <font>
      <b val="1"/>
    </font>
    <font>
      <b val="1"/>
      <color rgb="001F4E79"/>
    </font>
    <font>
      <b val="1"/>
      <color rgb="001F4E79"/>
      <sz val="16"/>
    </font>
    <font>
      <b val="1"/>
      <sz val="11"/>
    </font>
    <font>
      <color rgb="001F4E79"/>
      <sz val="11"/>
    </font>
    <font>
      <name val="Calibri"/>
      <b val="1"/>
      <color rgb="008B0000"/>
      <sz val="16"/>
    </font>
    <font>
      <name val="Calibri"/>
      <b val="1"/>
      <color rgb="001F4E79"/>
      <sz val="10"/>
    </font>
    <font>
      <name val="Calibri"/>
      <sz val="9"/>
    </font>
    <font>
      <name val="Calibri"/>
      <b val="1"/>
      <sz val="10"/>
    </font>
    <font>
      <name val="Calibri"/>
      <b val="1"/>
      <color rgb="008B0000"/>
      <sz val="12"/>
    </font>
    <font>
      <name val="Calibri"/>
      <sz val="10"/>
    </font>
    <font>
      <name val="Calibri"/>
      <b val="1"/>
      <color rgb="008B0000"/>
      <sz val="10"/>
    </font>
    <font>
      <name val="Calibri"/>
      <b val="1"/>
      <color rgb="00FFFFFF"/>
      <sz val="9"/>
    </font>
    <font>
      <name val="Calibri"/>
      <b val="1"/>
      <sz val="9"/>
    </font>
    <font>
      <name val="Calibri"/>
      <b val="1"/>
      <sz val="11"/>
    </font>
    <font>
      <name val="Calibri"/>
      <b val="1"/>
      <color rgb="008B0000"/>
      <sz val="11"/>
    </font>
    <font>
      <name val="Calibri"/>
      <b val="1"/>
      <color rgb="001F4E79"/>
      <sz val="11"/>
    </font>
    <font>
      <name val="Calibri"/>
      <b val="1"/>
      <color rgb="008B0000"/>
      <sz val="14"/>
    </font>
    <font>
      <name val="Calibri"/>
      <b val="1"/>
      <color rgb="0000B050"/>
      <sz val="10"/>
    </font>
    <font>
      <name val="Calibri"/>
      <b val="1"/>
      <color rgb="007030A0"/>
      <sz val="10"/>
    </font>
    <font>
      <name val="Calibri"/>
      <b val="1"/>
      <color rgb="0000B050"/>
      <sz val="11"/>
    </font>
    <font>
      <name val="Calibri"/>
      <b val="1"/>
      <color rgb="00FF0000"/>
      <sz val="10"/>
    </font>
    <font>
      <name val="Calibri"/>
      <b val="1"/>
      <color rgb="0000B0F0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0F4F8"/>
        <bgColor rgb="00F0F4F8"/>
      </patternFill>
    </fill>
    <fill>
      <patternFill patternType="solid">
        <fgColor rgb="00D4AF37"/>
        <bgColor rgb="00D4AF37"/>
      </patternFill>
    </fill>
    <fill>
      <patternFill patternType="solid">
        <fgColor rgb="00E8F0FE"/>
        <bgColor rgb="00E8F0FE"/>
      </patternFill>
    </fill>
    <fill>
      <patternFill patternType="solid">
        <fgColor rgb="00FFFFCC"/>
        <bgColor rgb="00FFFFCC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medium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medium"/>
      <diagonal/>
    </border>
    <border>
      <left/>
      <right style="thin"/>
      <top style="medium"/>
      <bottom style="medium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pivotButton="0" quotePrefix="0" xfId="0"/>
    <xf numFmtId="0" fontId="3" fillId="0" borderId="1" pivotButton="0" quotePrefix="0" xfId="0"/>
    <xf numFmtId="4" fontId="4" fillId="5" borderId="1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0" fontId="1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2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4" fontId="10" fillId="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4" fontId="10" fillId="6" borderId="1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/>
    </xf>
    <xf numFmtId="0" fontId="0" fillId="4" borderId="2" pivotButton="0" quotePrefix="0" xfId="0"/>
    <xf numFmtId="4" fontId="18" fillId="4" borderId="2" applyAlignment="1" pivotButton="0" quotePrefix="0" xfId="0">
      <alignment horizontal="center"/>
    </xf>
    <xf numFmtId="0" fontId="19" fillId="0" borderId="0" pivotButton="0" quotePrefix="0" xfId="0"/>
    <xf numFmtId="0" fontId="11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0" fillId="0" borderId="5" pivotButton="0" quotePrefix="0" xfId="0"/>
    <xf numFmtId="0" fontId="0" fillId="0" borderId="6" pivotButton="0" quotePrefix="0" xfId="0"/>
    <xf numFmtId="0" fontId="20" fillId="0" borderId="0" applyAlignment="1" pivotButton="0" quotePrefix="0" xfId="0">
      <alignment horizontal="center"/>
    </xf>
    <xf numFmtId="0" fontId="21" fillId="0" borderId="0" pivotButton="0" quotePrefix="0" xfId="0"/>
    <xf numFmtId="0" fontId="22" fillId="0" borderId="0" pivotButton="0" quotePrefix="0" xfId="0"/>
    <xf numFmtId="0" fontId="14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16" fillId="0" borderId="0" pivotButton="0" quotePrefix="0" xfId="0"/>
    <xf numFmtId="0" fontId="2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5" customWidth="1" min="10" max="10"/>
  </cols>
  <sheetData>
    <row r="1">
      <c r="A1" s="1" t="inlineStr">
        <is>
          <t>#</t>
        </is>
      </c>
      <c r="B1" s="1" t="inlineStr">
        <is>
          <t>التاريخ</t>
        </is>
      </c>
      <c r="C1" s="1" t="inlineStr">
        <is>
          <t>حالة الطلب</t>
        </is>
      </c>
      <c r="D1" s="1" t="inlineStr">
        <is>
          <t>المنتج</t>
        </is>
      </c>
      <c r="E1" s="1" t="inlineStr">
        <is>
          <t>الكمية (باب)</t>
        </is>
      </c>
      <c r="F1" s="1" t="inlineStr">
        <is>
          <t>سعر الوحدة ($)</t>
        </is>
      </c>
      <c r="G1" s="1" t="inlineStr">
        <is>
          <t>الإجمالي ($)</t>
        </is>
      </c>
      <c r="H1" s="1" t="inlineStr">
        <is>
          <t>عمولتك ($)</t>
        </is>
      </c>
      <c r="I1" s="1" t="inlineStr">
        <is>
          <t>تاريخ الشحن</t>
        </is>
      </c>
      <c r="J1" s="1" t="inlineStr">
        <is>
          <t>ملاحظات</t>
        </is>
      </c>
    </row>
    <row r="2">
      <c r="A2" s="2" t="n">
        <v>1</v>
      </c>
      <c r="B2" s="3" t="n">
        <v>46174</v>
      </c>
      <c r="C2" s="2" t="inlineStr">
        <is>
          <t>تم الشحن</t>
        </is>
      </c>
      <c r="D2" s="2" t="inlineStr">
        <is>
          <t>باب مصفح قياسي</t>
        </is>
      </c>
      <c r="E2" s="2" t="n">
        <v>167</v>
      </c>
      <c r="F2" s="4" t="n">
        <v>85</v>
      </c>
      <c r="G2" s="4" t="n">
        <v>14195</v>
      </c>
      <c r="H2" s="4" t="n">
        <v>835</v>
      </c>
      <c r="I2" s="3" t="n">
        <v>46178</v>
      </c>
      <c r="J2" s="2" t="inlineStr">
        <is>
          <t>كونتنير لمصر</t>
        </is>
      </c>
    </row>
    <row r="3">
      <c r="A3" s="5" t="n">
        <v>2</v>
      </c>
      <c r="B3" s="6" t="n">
        <v>46181</v>
      </c>
      <c r="C3" s="5" t="inlineStr">
        <is>
          <t>قيد التصنيع</t>
        </is>
      </c>
      <c r="D3" s="5" t="inlineStr">
        <is>
          <t>باب مصفح 120 سم</t>
        </is>
      </c>
      <c r="E3" s="5" t="n">
        <v>120</v>
      </c>
      <c r="F3" s="7" t="n">
        <v>110</v>
      </c>
      <c r="G3" s="7" t="n">
        <v>13200</v>
      </c>
      <c r="H3" s="7" t="n">
        <v>720</v>
      </c>
      <c r="I3" s="6" t="n">
        <v>46193</v>
      </c>
      <c r="J3" s="5" t="inlineStr">
        <is>
          <t>كونتنير للأردن</t>
        </is>
      </c>
    </row>
    <row r="4">
      <c r="A4" s="2" t="n">
        <v>3</v>
      </c>
      <c r="B4" s="3" t="n">
        <v>46183</v>
      </c>
      <c r="C4" s="2" t="inlineStr">
        <is>
          <t>قيد التصنيع</t>
        </is>
      </c>
      <c r="D4" s="2" t="inlineStr">
        <is>
          <t>باب مصفح 140 سم</t>
        </is>
      </c>
      <c r="E4" s="2" t="n">
        <v>80</v>
      </c>
      <c r="F4" s="4" t="n">
        <v>140</v>
      </c>
      <c r="G4" s="4" t="n">
        <v>11200</v>
      </c>
      <c r="H4" s="4" t="n">
        <v>640</v>
      </c>
      <c r="I4" s="3" t="n">
        <v>46198</v>
      </c>
      <c r="J4" s="2" t="inlineStr">
        <is>
          <t>كونتنير للعراق</t>
        </is>
      </c>
    </row>
    <row r="5">
      <c r="A5" s="5" t="n">
        <v>4</v>
      </c>
      <c r="B5" s="6" t="n">
        <v>46188</v>
      </c>
      <c r="C5" s="5" t="inlineStr">
        <is>
          <t>قيد المراجعة</t>
        </is>
      </c>
      <c r="D5" s="5" t="inlineStr">
        <is>
          <t>باب مصفح 160 سم</t>
        </is>
      </c>
      <c r="E5" s="5" t="n">
        <v>50</v>
      </c>
      <c r="F5" s="7" t="n">
        <v>180</v>
      </c>
      <c r="G5" s="7" t="n">
        <v>9000</v>
      </c>
      <c r="H5" s="7" t="n">
        <v>500</v>
      </c>
      <c r="I5" s="5" t="inlineStr"/>
      <c r="J5" s="5" t="inlineStr">
        <is>
          <t>طلب خاص</t>
        </is>
      </c>
    </row>
    <row r="6">
      <c r="A6" s="8" t="inlineStr"/>
      <c r="B6" s="8" t="inlineStr"/>
      <c r="C6" s="9" t="inlineStr">
        <is>
          <t>المجموع</t>
        </is>
      </c>
      <c r="D6" s="10">
        <f>SUM(D2:D5)</f>
        <v/>
      </c>
      <c r="E6" s="10">
        <f>SUM(E2:E5)</f>
        <v/>
      </c>
      <c r="F6" s="11">
        <f>SUM(F2:F5)</f>
        <v/>
      </c>
      <c r="G6" s="11">
        <f>SUM(G2:G5)</f>
        <v/>
      </c>
      <c r="H6" s="11">
        <f>SUM(H2:H5)</f>
        <v/>
      </c>
      <c r="I6" s="8" t="n"/>
      <c r="J6" s="8" t="n"/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F37"/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22" customWidth="1" min="4" max="4"/>
    <col width="30" customWidth="1" min="5" max="5"/>
    <col width="16" customWidth="1" min="6" max="6"/>
    <col width="35" customWidth="1" min="7" max="7"/>
  </cols>
  <sheetData>
    <row r="1">
      <c r="A1" s="12" t="inlineStr">
        <is>
          <t>#</t>
        </is>
      </c>
      <c r="B1" s="12" t="inlineStr">
        <is>
          <t>الاسم</t>
        </is>
      </c>
      <c r="C1" s="12" t="inlineStr">
        <is>
          <t>المسمى</t>
        </is>
      </c>
      <c r="D1" s="12" t="inlineStr">
        <is>
          <t>رقم الهاتف</t>
        </is>
      </c>
      <c r="E1" s="12" t="inlineStr">
        <is>
          <t>إيميل</t>
        </is>
      </c>
      <c r="F1" s="12" t="inlineStr">
        <is>
          <t>آخر تواصل</t>
        </is>
      </c>
      <c r="G1" s="12" t="inlineStr">
        <is>
          <t>ملاحظات</t>
        </is>
      </c>
    </row>
    <row r="2">
      <c r="A2" s="13" t="n">
        <v>1</v>
      </c>
      <c r="B2" s="13" t="inlineStr">
        <is>
          <t>سعد زكي</t>
        </is>
      </c>
      <c r="C2" s="13" t="inlineStr">
        <is>
          <t>مالك</t>
        </is>
      </c>
      <c r="D2" s="13" t="inlineStr">
        <is>
          <t>00962XXXXXXXXX</t>
        </is>
      </c>
      <c r="E2" s="13" t="inlineStr">
        <is>
          <t>saad@email.com</t>
        </is>
      </c>
      <c r="F2" s="14" t="n">
        <v>46183</v>
      </c>
      <c r="G2" s="13" t="inlineStr">
        <is>
          <t>الزبون الأساسي - كونتنير شهري</t>
        </is>
      </c>
    </row>
    <row r="3">
      <c r="A3" s="8" t="n">
        <v>2</v>
      </c>
      <c r="B3" s="8" t="inlineStr">
        <is>
          <t>محمد السيد</t>
        </is>
      </c>
      <c r="C3" s="8" t="inlineStr">
        <is>
          <t>مدير مشتريات</t>
        </is>
      </c>
      <c r="D3" s="8" t="inlineStr">
        <is>
          <t>00201XXXXXXXXX</t>
        </is>
      </c>
      <c r="E3" s="8" t="inlineStr"/>
      <c r="F3" s="15" t="n">
        <v>46181</v>
      </c>
      <c r="G3" s="8" t="inlineStr">
        <is>
          <t>مسؤول الطلبيات المصرية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>
      <c r="A1" s="12" t="inlineStr">
        <is>
          <t>#</t>
        </is>
      </c>
      <c r="B1" s="12" t="inlineStr">
        <is>
          <t>رقم الفاتورة</t>
        </is>
      </c>
      <c r="C1" s="12" t="inlineStr">
        <is>
          <t>التاريخ</t>
        </is>
      </c>
      <c r="D1" s="12" t="inlineStr">
        <is>
          <t>الزبون</t>
        </is>
      </c>
      <c r="E1" s="12" t="inlineStr">
        <is>
          <t>المبلغ ($)</t>
        </is>
      </c>
      <c r="F1" s="12" t="inlineStr">
        <is>
          <t>الحالة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F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6" t="inlineStr">
        <is>
          <t>ملخص عميل Modern (Saad Zaki)</t>
        </is>
      </c>
    </row>
    <row r="3">
      <c r="A3" s="17" t="inlineStr">
        <is>
          <t>إجمالي الطلبيات</t>
        </is>
      </c>
      <c r="B3" s="18" t="inlineStr">
        <is>
          <t>4</t>
        </is>
      </c>
    </row>
    <row r="4">
      <c r="A4" s="17" t="inlineStr">
        <is>
          <t>إجمالي الأبواب</t>
        </is>
      </c>
      <c r="B4" s="18" t="inlineStr">
        <is>
          <t>417</t>
        </is>
      </c>
    </row>
    <row r="5">
      <c r="A5" s="17" t="inlineStr">
        <is>
          <t>إجمالي الإيرادات</t>
        </is>
      </c>
      <c r="B5" s="18" t="inlineStr">
        <is>
          <t>$47,595</t>
        </is>
      </c>
    </row>
    <row r="6">
      <c r="A6" s="17" t="inlineStr">
        <is>
          <t>إجمالي العمولات</t>
        </is>
      </c>
      <c r="B6" s="18" t="inlineStr">
        <is>
          <t>$2,695</t>
        </is>
      </c>
    </row>
    <row r="7">
      <c r="A7" s="17" t="inlineStr">
        <is>
          <t>آخر طلبية</t>
        </is>
      </c>
      <c r="B7" s="18" t="inlineStr">
        <is>
          <t>15-06-2026</t>
        </is>
      </c>
    </row>
    <row r="8">
      <c r="A8" s="17" t="inlineStr">
        <is>
          <t>الدول المستهدفة</t>
        </is>
      </c>
      <c r="B8" s="18" t="inlineStr">
        <is>
          <t>مصر - الأردن - العراق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4" customWidth="1" min="13" max="13"/>
    <col width="4" customWidth="1" min="14" max="14"/>
  </cols>
  <sheetData>
    <row r="1" ht="25" customHeight="1">
      <c r="A1" s="19" t="inlineStr">
        <is>
          <t>NEWA GROUP</t>
        </is>
      </c>
    </row>
    <row r="2">
      <c r="A2" s="20" t="inlineStr">
        <is>
          <t>METALURJİ İTHALAT İHRACAAT SANAYİ VE TİCARET LİMİTED ŞİRKETİ</t>
        </is>
      </c>
    </row>
    <row r="3">
      <c r="A3" s="21" t="inlineStr">
        <is>
          <t>KARPUZSEKİSİ MAH. CAD: 59 NO: 13 HACILAR / KAYSERİ / TÜRKİYE</t>
        </is>
      </c>
    </row>
    <row r="4">
      <c r="A4" s="21" t="inlineStr">
        <is>
          <t>Tel: +90 352 504 09 09</t>
        </is>
      </c>
    </row>
    <row r="6">
      <c r="A6" s="22" t="inlineStr">
        <is>
          <t>TO:</t>
        </is>
      </c>
      <c r="D6" s="23" t="inlineStr">
        <is>
          <t>MODERN STYLE FOR IMPORT &amp; EXPORT / SAAD ZAKY FAHIM ABDELSAYED</t>
        </is>
      </c>
      <c r="I6" s="22" t="inlineStr">
        <is>
          <t>PROFORMA INVOICE NO:</t>
        </is>
      </c>
      <c r="K6" s="24" t="inlineStr">
        <is>
          <t>2026-001</t>
        </is>
      </c>
    </row>
    <row r="7">
      <c r="A7" s="22" t="inlineStr">
        <is>
          <t>ADDRESS:</t>
        </is>
      </c>
      <c r="D7" s="25" t="inlineStr">
        <is>
          <t>199 MOSTAFA EL NAHHAS STREET, NASR CITY, 8TH DISTRICT, CAIRO, EGYPT</t>
        </is>
      </c>
      <c r="I7" s="22" t="inlineStr">
        <is>
          <t>DATE:</t>
        </is>
      </c>
      <c r="K7" s="26" t="inlineStr">
        <is>
          <t>15-06-2026</t>
        </is>
      </c>
    </row>
    <row r="8">
      <c r="A8" s="22" t="inlineStr">
        <is>
          <t>EMAIL:</t>
        </is>
      </c>
      <c r="D8" s="25" t="inlineStr">
        <is>
          <t>saad.zaky@email.com</t>
        </is>
      </c>
      <c r="I8" s="22" t="inlineStr">
        <is>
          <t>DELIVERY:</t>
        </is>
      </c>
      <c r="K8" s="26" t="inlineStr">
        <is>
          <t>EX-WORKS (EXW)</t>
        </is>
      </c>
    </row>
    <row r="9">
      <c r="A9" s="22" t="inlineStr">
        <is>
          <t>TEL:</t>
        </is>
      </c>
      <c r="D9" s="25" t="inlineStr">
        <is>
          <t>+20 100 000 0000</t>
        </is>
      </c>
      <c r="I9" s="22" t="inlineStr">
        <is>
          <t>PAYMENT TERM:</t>
        </is>
      </c>
      <c r="K9" s="27" t="inlineStr">
        <is>
          <t>%30 DEPOSIT / %70 CAD</t>
        </is>
      </c>
    </row>
    <row r="10">
      <c r="I10" s="22" t="inlineStr">
        <is>
          <t>COUNTRY OF ORIGIN:</t>
        </is>
      </c>
      <c r="K10" s="26" t="inlineStr">
        <is>
          <t>TURKEY</t>
        </is>
      </c>
    </row>
    <row r="11">
      <c r="I11" s="22" t="inlineStr">
        <is>
          <t>COUNTRY OF MANUFACTURE:</t>
        </is>
      </c>
      <c r="K11" s="26" t="inlineStr">
        <is>
          <t>TURKEY</t>
        </is>
      </c>
    </row>
    <row r="13" ht="35" customHeight="1">
      <c r="A13" s="28" t="inlineStr">
        <is>
          <t>NO</t>
        </is>
      </c>
      <c r="B13" s="28" t="inlineStr">
        <is>
          <t>FOTO / RESİM</t>
        </is>
      </c>
      <c r="C13" s="28" t="inlineStr">
        <is>
          <t>ÜRÜN AHŞAP ADI</t>
        </is>
      </c>
      <c r="D13" s="28" t="inlineStr">
        <is>
          <t>AHŞAP / WOOD</t>
        </is>
      </c>
      <c r="E13" s="28" t="inlineStr">
        <is>
          <t>KASA RENK / METAL COLOR</t>
        </is>
      </c>
      <c r="F13" s="28" t="inlineStr">
        <is>
          <t>ÇEKME KOL / PULL HANDLE</t>
        </is>
      </c>
      <c r="G13" s="28" t="inlineStr">
        <is>
          <t>AKSESUAR RENK</t>
        </is>
      </c>
      <c r="H13" s="28" t="inlineStr">
        <is>
          <t>SAĞ / RIGHT</t>
        </is>
      </c>
      <c r="I13" s="28" t="inlineStr">
        <is>
          <t>SOL / LEFT</t>
        </is>
      </c>
      <c r="J13" s="28" t="inlineStr">
        <is>
          <t>TOPLAM PCS</t>
        </is>
      </c>
      <c r="K13" s="28" t="inlineStr">
        <is>
          <t>BİRİM FİYAT ($)</t>
        </is>
      </c>
      <c r="L13" s="28" t="inlineStr">
        <is>
          <t>TUTAR ($)</t>
        </is>
      </c>
    </row>
    <row r="14">
      <c r="A14" s="29" t="n">
        <v>1</v>
      </c>
      <c r="B14" s="30" t="inlineStr"/>
      <c r="C14" s="30" t="inlineStr">
        <is>
          <t>LAMİNOKS</t>
        </is>
      </c>
      <c r="D14" s="30" t="inlineStr">
        <is>
          <t>GÖRÜMSELDEKİ GİBİ</t>
        </is>
      </c>
      <c r="E14" s="30" t="inlineStr">
        <is>
          <t>GÖRÜMSELDEKİ GİBİ</t>
        </is>
      </c>
      <c r="F14" s="30" t="inlineStr">
        <is>
          <t>GÖRÜMSELDEKİ GİBİ</t>
        </is>
      </c>
      <c r="G14" s="30" t="inlineStr">
        <is>
          <t>GÖRÜMSELDEKİ GİBİ</t>
        </is>
      </c>
      <c r="H14" s="30" t="n">
        <v>10</v>
      </c>
      <c r="I14" s="30" t="n">
        <v>10</v>
      </c>
      <c r="J14" s="30" t="n">
        <v>20</v>
      </c>
      <c r="K14" s="31" t="n">
        <v>180</v>
      </c>
      <c r="L14" s="31" t="n">
        <v>3600</v>
      </c>
    </row>
    <row r="15">
      <c r="A15" s="32" t="n">
        <v>2</v>
      </c>
      <c r="B15" s="33" t="inlineStr"/>
      <c r="C15" s="33" t="inlineStr">
        <is>
          <t>LAMİNOKS</t>
        </is>
      </c>
      <c r="D15" s="32" t="inlineStr">
        <is>
          <t>ANTRASİT</t>
        </is>
      </c>
      <c r="E15" s="33" t="inlineStr">
        <is>
          <t>GÖRÜMSELDEKİ GİBİ</t>
        </is>
      </c>
      <c r="F15" s="33" t="inlineStr">
        <is>
          <t>GÖRÜMSELDEKİ GİBİ</t>
        </is>
      </c>
      <c r="G15" s="33" t="inlineStr">
        <is>
          <t>GÖRÜMSELDEKİ GİBİ</t>
        </is>
      </c>
      <c r="H15" s="33" t="n">
        <v>10</v>
      </c>
      <c r="I15" s="33" t="n">
        <v>10</v>
      </c>
      <c r="J15" s="33" t="n">
        <v>20</v>
      </c>
      <c r="K15" s="34" t="n">
        <v>180</v>
      </c>
      <c r="L15" s="34" t="n">
        <v>3600</v>
      </c>
    </row>
    <row r="16">
      <c r="A16" s="29" t="n">
        <v>3</v>
      </c>
      <c r="B16" s="30" t="inlineStr"/>
      <c r="C16" s="30" t="inlineStr">
        <is>
          <t>ELİT PAN</t>
        </is>
      </c>
      <c r="D16" s="30" t="inlineStr">
        <is>
          <t>GÖRÜMSELDEKİ GİBİ</t>
        </is>
      </c>
      <c r="E16" s="30" t="inlineStr">
        <is>
          <t>GÖRÜMSELDEKİ GİBİ</t>
        </is>
      </c>
      <c r="F16" s="30" t="inlineStr">
        <is>
          <t>GÖRÜMSELDEKİ GİBİ</t>
        </is>
      </c>
      <c r="G16" s="30" t="inlineStr">
        <is>
          <t>GÖRÜMSELDEKİ GİBİ</t>
        </is>
      </c>
      <c r="H16" s="30" t="n">
        <v>10</v>
      </c>
      <c r="I16" s="30" t="n">
        <v>10</v>
      </c>
      <c r="J16" s="30" t="n">
        <v>20</v>
      </c>
      <c r="K16" s="31" t="n">
        <v>195</v>
      </c>
      <c r="L16" s="31" t="n">
        <v>3900</v>
      </c>
    </row>
    <row r="17">
      <c r="A17" s="29" t="n">
        <v>4</v>
      </c>
      <c r="B17" s="30" t="inlineStr"/>
      <c r="C17" s="30" t="inlineStr">
        <is>
          <t>LAMİNOKS</t>
        </is>
      </c>
      <c r="D17" s="30" t="inlineStr">
        <is>
          <t>GÖRÜMSELDEKİ GİBİ</t>
        </is>
      </c>
      <c r="E17" s="30" t="inlineStr">
        <is>
          <t>GÖRÜMSELDEKİ GİBİ</t>
        </is>
      </c>
      <c r="F17" s="30" t="inlineStr">
        <is>
          <t>GÖRÜMSELDEKİ GİBİ</t>
        </is>
      </c>
      <c r="G17" s="30" t="inlineStr">
        <is>
          <t>GÖRÜMSELDEKİ GİBİ</t>
        </is>
      </c>
      <c r="H17" s="30" t="n">
        <v>10</v>
      </c>
      <c r="I17" s="30" t="n">
        <v>10</v>
      </c>
      <c r="J17" s="30" t="n">
        <v>20</v>
      </c>
      <c r="K17" s="31" t="n">
        <v>180</v>
      </c>
      <c r="L17" s="31" t="n">
        <v>3600</v>
      </c>
    </row>
    <row r="18">
      <c r="A18" s="29" t="n">
        <v>5</v>
      </c>
      <c r="B18" s="30" t="inlineStr"/>
      <c r="C18" s="30" t="inlineStr">
        <is>
          <t>LAMİNOKS AHŞAP KOLU</t>
        </is>
      </c>
      <c r="D18" s="30" t="inlineStr">
        <is>
          <t>GÖRÜMSELDEKİ GİBİ</t>
        </is>
      </c>
      <c r="E18" s="30" t="inlineStr">
        <is>
          <t>GÖRÜMSELDEKİ GİBİ</t>
        </is>
      </c>
      <c r="F18" s="30" t="inlineStr">
        <is>
          <t>GÖRÜMSELDEKİ GİBİ</t>
        </is>
      </c>
      <c r="G18" s="30" t="inlineStr">
        <is>
          <t>GÖRÜMSELDEKİ GİBİ</t>
        </is>
      </c>
      <c r="H18" s="30" t="n">
        <v>10</v>
      </c>
      <c r="I18" s="30" t="n">
        <v>9</v>
      </c>
      <c r="J18" s="30" t="n">
        <v>19</v>
      </c>
      <c r="K18" s="31" t="n">
        <v>220</v>
      </c>
      <c r="L18" s="31" t="n">
        <v>4180</v>
      </c>
    </row>
    <row r="19">
      <c r="A19" s="32" t="n">
        <v>6</v>
      </c>
      <c r="B19" s="33" t="inlineStr"/>
      <c r="C19" s="33" t="inlineStr">
        <is>
          <t>LAMİNOKS AHŞAP KOLU</t>
        </is>
      </c>
      <c r="D19" s="32" t="inlineStr">
        <is>
          <t>SARUHAN</t>
        </is>
      </c>
      <c r="E19" s="33" t="inlineStr">
        <is>
          <t>GÖRÜMSELDEKİ GİBİ</t>
        </is>
      </c>
      <c r="F19" s="33" t="inlineStr">
        <is>
          <t>GÖRÜMSELDEKİ GİBİ</t>
        </is>
      </c>
      <c r="G19" s="33" t="inlineStr">
        <is>
          <t>GÖRÜMSELDEKİ GİBİ</t>
        </is>
      </c>
      <c r="H19" s="33" t="n">
        <v>10</v>
      </c>
      <c r="I19" s="33" t="n">
        <v>9</v>
      </c>
      <c r="J19" s="33" t="n">
        <v>19</v>
      </c>
      <c r="K19" s="34" t="n">
        <v>220</v>
      </c>
      <c r="L19" s="34" t="n">
        <v>4180</v>
      </c>
    </row>
    <row r="20">
      <c r="A20" s="32" t="n">
        <v>7</v>
      </c>
      <c r="B20" s="33" t="inlineStr"/>
      <c r="C20" s="33" t="inlineStr">
        <is>
          <t>LAMİNOKS</t>
        </is>
      </c>
      <c r="D20" s="32" t="inlineStr">
        <is>
          <t>SİYAH</t>
        </is>
      </c>
      <c r="E20" s="33" t="inlineStr">
        <is>
          <t>GÖRÜMSELDEKİ GİBİ</t>
        </is>
      </c>
      <c r="F20" s="33" t="inlineStr">
        <is>
          <t>GÖRÜMSELDEKİ GİBİ</t>
        </is>
      </c>
      <c r="G20" s="33" t="inlineStr">
        <is>
          <t>GÖRÜMSELDEKİ GİBİ</t>
        </is>
      </c>
      <c r="H20" s="33" t="n">
        <v>10</v>
      </c>
      <c r="I20" s="33" t="n">
        <v>9</v>
      </c>
      <c r="J20" s="33" t="n">
        <v>19</v>
      </c>
      <c r="K20" s="34" t="n">
        <v>180</v>
      </c>
      <c r="L20" s="34" t="n">
        <v>3420</v>
      </c>
    </row>
    <row r="21">
      <c r="A21" s="29" t="n">
        <v>8</v>
      </c>
      <c r="B21" s="30" t="inlineStr"/>
      <c r="C21" s="30" t="inlineStr">
        <is>
          <t>LAMİNOKS</t>
        </is>
      </c>
      <c r="D21" s="30" t="inlineStr">
        <is>
          <t>GÖRÜMSELDEKİ GİBİ</t>
        </is>
      </c>
      <c r="E21" s="30" t="inlineStr">
        <is>
          <t>GÖRÜMSELDEKİ GİBİ</t>
        </is>
      </c>
      <c r="F21" s="30" t="inlineStr">
        <is>
          <t>GÖRÜMSELDEKİ GİBİ</t>
        </is>
      </c>
      <c r="G21" s="30" t="inlineStr">
        <is>
          <t>GÖRÜMSELDEKİ GİBİ</t>
        </is>
      </c>
      <c r="H21" s="30" t="n">
        <v>5</v>
      </c>
      <c r="I21" s="30" t="n">
        <v>5</v>
      </c>
      <c r="J21" s="30" t="n">
        <v>10</v>
      </c>
      <c r="K21" s="31" t="n">
        <v>180</v>
      </c>
      <c r="L21" s="31" t="n">
        <v>1800</v>
      </c>
    </row>
    <row r="22">
      <c r="A22" s="29" t="n">
        <v>9</v>
      </c>
      <c r="B22" s="30" t="inlineStr"/>
      <c r="C22" s="30" t="inlineStr">
        <is>
          <t>ELİT PAN</t>
        </is>
      </c>
      <c r="D22" s="30" t="inlineStr">
        <is>
          <t>GÖRÜMSELDEKİ GİBİ</t>
        </is>
      </c>
      <c r="E22" s="30" t="inlineStr">
        <is>
          <t>GÖRÜMSELDEKİ GİBİ</t>
        </is>
      </c>
      <c r="F22" s="30" t="inlineStr">
        <is>
          <t>GÖRÜMSELDEKİ GİBİ</t>
        </is>
      </c>
      <c r="G22" s="30" t="inlineStr">
        <is>
          <t>GÖRÜMSELDEKİ GİBİ</t>
        </is>
      </c>
      <c r="H22" s="30" t="n">
        <v>5</v>
      </c>
      <c r="I22" s="30" t="n">
        <v>4</v>
      </c>
      <c r="J22" s="30" t="n">
        <v>9</v>
      </c>
      <c r="K22" s="31" t="n">
        <v>195</v>
      </c>
      <c r="L22" s="31" t="n">
        <v>1755</v>
      </c>
    </row>
    <row r="23">
      <c r="A23" s="35" t="inlineStr">
        <is>
          <t>TOTAL</t>
        </is>
      </c>
      <c r="B23" s="41" t="n"/>
      <c r="C23" s="41" t="n"/>
      <c r="D23" s="41" t="n"/>
      <c r="E23" s="41" t="n"/>
      <c r="F23" s="41" t="n"/>
      <c r="G23" s="41" t="n"/>
      <c r="H23" s="42" t="n"/>
      <c r="I23" s="36" t="n"/>
      <c r="J23" s="37">
        <f>SUM(J14:J22)</f>
        <v/>
      </c>
      <c r="K23" s="37">
        <f>SUM(K14:K22)</f>
        <v/>
      </c>
      <c r="L23" s="37">
        <f>SUM(L14:L22)</f>
        <v/>
      </c>
    </row>
    <row r="25">
      <c r="A25" s="38" t="inlineStr">
        <is>
          <t>BANK DETAILS</t>
        </is>
      </c>
    </row>
    <row r="26">
      <c r="A26" s="39" t="inlineStr">
        <is>
          <t>COMPANY NAME</t>
        </is>
      </c>
      <c r="B26" s="40" t="inlineStr">
        <is>
          <t>NEWA GROUP METALURJİ İTHALAT İHRACAAT SANAYİ VE TİCARET LİMİTED ŞİRKETİ</t>
        </is>
      </c>
    </row>
    <row r="27">
      <c r="A27" s="39" t="inlineStr">
        <is>
          <t>BANK NAME</t>
        </is>
      </c>
      <c r="B27" s="40" t="inlineStr">
        <is>
          <t>Albaraka Türk Katılım Bankası A.Ş.</t>
        </is>
      </c>
    </row>
    <row r="28">
      <c r="A28" s="39" t="inlineStr">
        <is>
          <t>BRANCH</t>
        </is>
      </c>
      <c r="B28" s="40" t="inlineStr">
        <is>
          <t>KAYSERİ ORGANİZE SANAYİ ŞUBESİ</t>
        </is>
      </c>
    </row>
    <row r="29">
      <c r="A29" s="39" t="inlineStr">
        <is>
          <t>BRANCH CODE</t>
        </is>
      </c>
      <c r="B29" s="40" t="inlineStr">
        <is>
          <t>111</t>
        </is>
      </c>
    </row>
    <row r="30">
      <c r="A30" s="39" t="inlineStr">
        <is>
          <t>ACCOUNT NO</t>
        </is>
      </c>
      <c r="B30" s="40" t="inlineStr">
        <is>
          <t>00158048017458915</t>
        </is>
      </c>
    </row>
    <row r="31">
      <c r="A31" s="39" t="inlineStr">
        <is>
          <t>IBAN NO</t>
        </is>
      </c>
      <c r="B31" s="40" t="inlineStr">
        <is>
          <t>TR28 0020 3000 1020 6886 0000 02</t>
        </is>
      </c>
    </row>
    <row r="32">
      <c r="A32" s="39" t="inlineStr">
        <is>
          <t>SWIFT CODE</t>
        </is>
      </c>
      <c r="B32" s="40" t="inlineStr">
        <is>
          <t>BTFH TR IS</t>
        </is>
      </c>
    </row>
  </sheetData>
  <mergeCells count="33">
    <mergeCell ref="I6:J6"/>
    <mergeCell ref="I11:J11"/>
    <mergeCell ref="B31:F31"/>
    <mergeCell ref="K7:N7"/>
    <mergeCell ref="K10:N10"/>
    <mergeCell ref="B27:F27"/>
    <mergeCell ref="A1:N1"/>
    <mergeCell ref="K6:N6"/>
    <mergeCell ref="D6:H6"/>
    <mergeCell ref="I7:J7"/>
    <mergeCell ref="A8:C8"/>
    <mergeCell ref="K9:N9"/>
    <mergeCell ref="D7:H7"/>
    <mergeCell ref="A3:N3"/>
    <mergeCell ref="B29:F29"/>
    <mergeCell ref="B28:F28"/>
    <mergeCell ref="A2:N2"/>
    <mergeCell ref="K11:N11"/>
    <mergeCell ref="A9:C9"/>
    <mergeCell ref="I8:J8"/>
    <mergeCell ref="A23:H23"/>
    <mergeCell ref="D9:H9"/>
    <mergeCell ref="B30:F30"/>
    <mergeCell ref="D8:H8"/>
    <mergeCell ref="A4:N4"/>
    <mergeCell ref="I10:J10"/>
    <mergeCell ref="A6:C6"/>
    <mergeCell ref="K8:N8"/>
    <mergeCell ref="B32:F32"/>
    <mergeCell ref="A7:C7"/>
    <mergeCell ref="B26:F26"/>
    <mergeCell ref="I9:J9"/>
    <mergeCell ref="A25:F25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3" t="inlineStr">
        <is>
          <t>PERS VE METAL / TEKNİK ŞARTNAME</t>
        </is>
      </c>
    </row>
    <row r="3">
      <c r="A3" s="23" t="inlineStr">
        <is>
          <t>SİPARİŞ KODU : MS01-2026</t>
        </is>
      </c>
      <c r="E3" s="23" t="inlineStr">
        <is>
          <t>ÜLKE : MISIR</t>
        </is>
      </c>
      <c r="G3" s="23" t="inlineStr">
        <is>
          <t>TARİH : 15-06-2026</t>
        </is>
      </c>
    </row>
    <row r="4">
      <c r="A4" s="44" t="inlineStr">
        <is>
          <t>SAC KALINLIĞI</t>
        </is>
      </c>
      <c r="C4" s="23" t="inlineStr">
        <is>
          <t>KASA</t>
        </is>
      </c>
      <c r="E4" s="23" t="inlineStr">
        <is>
          <t>0.90 MM</t>
        </is>
      </c>
    </row>
    <row r="5">
      <c r="C5" s="23" t="inlineStr">
        <is>
          <t>KANAT</t>
        </is>
      </c>
      <c r="E5" s="23" t="inlineStr">
        <is>
          <t>0.90 MM</t>
        </is>
      </c>
    </row>
    <row r="7">
      <c r="A7" s="45" t="inlineStr">
        <is>
          <t>TEK KANAT</t>
        </is>
      </c>
      <c r="D7" s="23" t="inlineStr">
        <is>
          <t>TOPLAM</t>
        </is>
      </c>
    </row>
    <row r="8">
      <c r="A8" s="23" t="inlineStr">
        <is>
          <t>SAĞ</t>
        </is>
      </c>
      <c r="B8" s="46" t="inlineStr">
        <is>
          <t>136</t>
        </is>
      </c>
    </row>
    <row r="10">
      <c r="A10" s="47" t="inlineStr">
        <is>
          <t>KASA / ÇERÇEVE</t>
        </is>
      </c>
    </row>
    <row r="12">
      <c r="A12" s="23" t="inlineStr">
        <is>
          <t>ÖLÇÜ DIŞ PERVAZDAN PERVAZA</t>
        </is>
      </c>
      <c r="E12" s="23" t="inlineStr">
        <is>
          <t>100 x 215 CM</t>
        </is>
      </c>
    </row>
    <row r="13">
      <c r="A13" s="23" t="inlineStr">
        <is>
          <t>KASA TÜRÜ : SABİT 15'LİK TURBO</t>
        </is>
      </c>
    </row>
    <row r="15">
      <c r="A15" s="48" t="inlineStr">
        <is>
          <t>DIŞ PERVAZ</t>
        </is>
      </c>
    </row>
    <row r="16">
      <c r="A16" s="23" t="inlineStr">
        <is>
          <t>ÜST</t>
        </is>
      </c>
      <c r="B16" s="23" t="inlineStr">
        <is>
          <t>7 CM</t>
        </is>
      </c>
    </row>
    <row r="18">
      <c r="A18" s="23" t="inlineStr">
        <is>
          <t>KESİM ÖLÇÜSÜ KASA PERVAZ HARİÇ İÇ ÖLÇÜSÜ</t>
        </is>
      </c>
      <c r="G18" s="23" t="inlineStr">
        <is>
          <t>89 x 209 CM</t>
        </is>
      </c>
    </row>
    <row r="19">
      <c r="A19" s="49" t="inlineStr">
        <is>
          <t>KİLİT PATLATMASI : EZME MISIR SETİ ( KİLİT TARAF MONO BLOK VE MENTEŞE TARAFA 3NCÜ KİLİT OLACAKTIR )</t>
        </is>
      </c>
      <c r="G19" s="49" t="inlineStr">
        <is>
          <t>EŞİK FİTİL : VAR</t>
        </is>
      </c>
    </row>
    <row r="20">
      <c r="A20" s="49" t="inlineStr">
        <is>
          <t>PİM : KARE 24x38 (2-2-2) VE KİLİT TARAFI 3 ADET</t>
        </is>
      </c>
      <c r="G20" s="49" t="inlineStr">
        <is>
          <t>KROM EŞİK FİTİL : VAR</t>
        </is>
      </c>
    </row>
    <row r="22">
      <c r="A22" s="50" t="inlineStr">
        <is>
          <t>KANAT / KANAT</t>
        </is>
      </c>
    </row>
    <row r="23">
      <c r="A23" s="23" t="inlineStr">
        <is>
          <t>KESİM ÖLÇÜSÜ KANAT</t>
        </is>
      </c>
      <c r="D23" s="23" t="inlineStr">
        <is>
          <t>87.5 x 206 CM</t>
        </is>
      </c>
    </row>
    <row r="24">
      <c r="A24" s="23" t="inlineStr">
        <is>
          <t>KANAT TÜRÜ : METAL BİNİ TIRNAKLI 11 CM</t>
        </is>
      </c>
      <c r="E24" s="23" t="inlineStr">
        <is>
          <t>PROFİL SAYISI : 4</t>
        </is>
      </c>
    </row>
    <row r="25">
      <c r="A25" s="23" t="inlineStr">
        <is>
          <t>ARASACI : FULL</t>
        </is>
      </c>
      <c r="E25" s="23" t="inlineStr">
        <is>
          <t>TEMELİK : SATEN KROM 8 CM</t>
        </is>
      </c>
    </row>
    <row r="27">
      <c r="A27" s="48" t="inlineStr">
        <is>
          <t>KANATTA "MADE IN TURKEY"</t>
        </is>
      </c>
    </row>
    <row r="29">
      <c r="A29" s="23" t="inlineStr">
        <is>
          <t>NOT : 8 MONTAJ KULAĞI VE EŞİK ALTINDA 2 ADET DESTEK SAC OLACAK</t>
        </is>
      </c>
    </row>
    <row r="30">
      <c r="A30" s="23" t="inlineStr">
        <is>
          <t>MENTEŞE : 4 ADET</t>
        </is>
      </c>
    </row>
    <row r="31">
      <c r="A31" s="23" t="inlineStr">
        <is>
          <t>SATEN KROM 8 CM : 504 ADET</t>
        </is>
      </c>
    </row>
    <row r="32">
      <c r="A32" s="23" t="inlineStr">
        <is>
          <t>SATEN KROM EŞİK FİTİL : 504 ADET</t>
        </is>
      </c>
    </row>
  </sheetData>
  <mergeCells count="11">
    <mergeCell ref="E12:F12"/>
    <mergeCell ref="G20:H20"/>
    <mergeCell ref="A19:F19"/>
    <mergeCell ref="A12:D12"/>
    <mergeCell ref="A1:F1"/>
    <mergeCell ref="A3:D3"/>
    <mergeCell ref="G19:H19"/>
    <mergeCell ref="A18:F18"/>
    <mergeCell ref="A20:F20"/>
    <mergeCell ref="G18:H18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2026-06-15T13:07:08Z</dcterms:created>
  <dcterms:modified xmlns:dcterms="http://purl.org/dc/terms/" xmlns:xsi="http://www.w3.org/2001/XMLSchema-instance" xsi:type="dcterms:W3CDTF">2026-06-15T13:13:31Z</dcterms:modified>
</cp:coreProperties>
</file>